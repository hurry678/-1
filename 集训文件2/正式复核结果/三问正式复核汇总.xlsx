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计划核对" sheetId="2" state="visible" r:id="rId2"/>
    <sheet name="运动学反例" sheetId="3" state="visible" r:id="rId3"/>
    <sheet name="版本差异" sheetId="4" state="visible" r:id="rId4"/>
  </sheets>
  <definedNames>
    <definedName name="_xlnm._FilterDatabase" localSheetId="0" hidden="1">'总览'!$A$1:$K$4</definedName>
    <definedName name="_xlnm._FilterDatabase" localSheetId="1" hidden="1">'计划核对'!$A$1:$E$10</definedName>
    <definedName name="_xlnm._FilterDatabase" localSheetId="2" hidden="1">'运动学反例'!$A$1:$I$4</definedName>
    <definedName name="_xlnm._FilterDatabase" localSheetId="3" hidden="1">'版本差异'!$A$1:$G$4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2937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0" customWidth="1" min="4" max="4"/>
    <col width="21" customWidth="1" min="5" max="5"/>
    <col width="19" customWidth="1" min="6" max="6"/>
    <col width="14" customWidth="1" min="7" max="7"/>
    <col width="16" customWidth="1" min="8" max="8"/>
    <col width="12" customWidth="1" min="9" max="9"/>
    <col width="14" customWidth="1" min="10" max="10"/>
    <col width="52" customWidth="1" min="11" max="11"/>
  </cols>
  <sheetData>
    <row r="1" ht="30" customHeight="1">
      <c r="A1" s="1" t="inlineStr">
        <is>
          <t>问题</t>
        </is>
      </c>
      <c r="B1" s="1" t="inlineStr">
        <is>
          <t>正式方案</t>
        </is>
      </c>
      <c r="C1" s="1" t="inlineStr">
        <is>
          <t>完成任务</t>
        </is>
      </c>
      <c r="D1" s="1" t="inlineStr">
        <is>
          <t>AvgTransferTime/s</t>
        </is>
      </c>
      <c r="E1" s="1" t="inlineStr">
        <is>
          <t>程序内连续净空/mm</t>
        </is>
      </c>
      <c r="F1" s="1" t="inlineStr">
        <is>
          <t>采样路径净空/mm</t>
        </is>
      </c>
      <c r="G1" s="1" t="inlineStr">
        <is>
          <t>安全裕量/mm</t>
        </is>
      </c>
      <c r="H1" s="1" t="inlineStr">
        <is>
          <t>制动距离违规数</t>
        </is>
      </c>
      <c r="I1" s="1" t="inlineStr">
        <is>
          <t>版本一致</t>
        </is>
      </c>
      <c r="J1" s="1" t="inlineStr">
        <is>
          <t>最终判定</t>
        </is>
      </c>
      <c r="K1" s="1" t="inlineStr">
        <is>
          <t>说明</t>
        </is>
      </c>
    </row>
    <row r="2">
      <c r="A2" s="2" t="n">
        <v>1</v>
      </c>
      <c r="B2" s="2" t="inlineStr">
        <is>
          <t>ALNS</t>
        </is>
      </c>
      <c r="C2" s="2" t="inlineStr">
        <is>
          <t>32/32</t>
        </is>
      </c>
      <c r="D2" s="3" t="n">
        <v>171.5</v>
      </c>
      <c r="E2" s="3" t="n">
        <v>325</v>
      </c>
      <c r="F2" s="3" t="n">
        <v>325</v>
      </c>
      <c r="G2" s="2">
        <f>F2-300</f>
        <v/>
      </c>
      <c r="H2" s="3" t="n">
        <v>0</v>
      </c>
      <c r="I2" s="2" t="inlineStr">
        <is>
          <t>是</t>
        </is>
      </c>
      <c r="J2" s="4" t="inlineStr">
        <is>
          <t>通过</t>
        </is>
      </c>
      <c r="K2" s="2" t="inlineStr">
        <is>
          <t>修复后的分段连续审计与独立停车距离审计均通过</t>
        </is>
      </c>
    </row>
    <row r="3">
      <c r="A3" s="5" t="n">
        <v>2</v>
      </c>
      <c r="B3" s="5" t="inlineStr">
        <is>
          <t>balanced</t>
        </is>
      </c>
      <c r="C3" s="5" t="inlineStr">
        <is>
          <t>190/190</t>
        </is>
      </c>
      <c r="D3" s="6" t="n">
        <v>142.939989</v>
      </c>
      <c r="E3" s="6" t="n">
        <v>300.5</v>
      </c>
      <c r="F3" s="6" t="n">
        <v>300.5</v>
      </c>
      <c r="G3" s="5">
        <f>F3-300</f>
        <v/>
      </c>
      <c r="H3" s="6" t="n">
        <v>0</v>
      </c>
      <c r="I3" s="5" t="inlineStr">
        <is>
          <t>是</t>
        </is>
      </c>
      <c r="J3" s="4" t="inlineStr">
        <is>
          <t>通过</t>
        </is>
      </c>
      <c r="K3" s="5" t="inlineStr">
        <is>
          <t>原3个停车违规已修复，四个候选均通过硬门</t>
        </is>
      </c>
    </row>
    <row r="4">
      <c r="A4" s="2" t="n">
        <v>3</v>
      </c>
      <c r="B4" s="2" t="inlineStr">
        <is>
          <t>microbatch</t>
        </is>
      </c>
      <c r="C4" s="2" t="inlineStr">
        <is>
          <t>600/600</t>
        </is>
      </c>
      <c r="D4" s="3" t="n">
        <v>830.458087</v>
      </c>
      <c r="E4" s="3" t="n">
        <v>307.8</v>
      </c>
      <c r="F4" s="3" t="n">
        <v>307.8</v>
      </c>
      <c r="G4" s="2">
        <f>F4-300</f>
        <v/>
      </c>
      <c r="H4" s="3" t="n">
        <v>0</v>
      </c>
      <c r="I4" s="2" t="inlineStr">
        <is>
          <t>是</t>
        </is>
      </c>
      <c r="J4" s="4" t="inlineStr">
        <is>
          <t>通过</t>
        </is>
      </c>
      <c r="K4" s="2" t="inlineStr">
        <is>
          <t>公共内核回归通过；完整时隙模型保留为候选</t>
        </is>
      </c>
    </row>
  </sheetData>
  <autoFilter ref="A1:K4"/>
  <conditionalFormatting sqref="G2:G4">
    <cfRule type="cellIs" priority="1" operator="lessThan" dxfId="0">
      <formula>0</formula>
    </cfRule>
  </conditionalFormatting>
  <conditionalFormatting sqref="H2:H4">
    <cfRule type="cellIs" priority="2" operator="greaterThan" dxfId="0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4" customWidth="1" min="5" max="5"/>
  </cols>
  <sheetData>
    <row r="1" ht="30" customHeight="1">
      <c r="A1" s="1" t="inlineStr">
        <is>
          <t>类别</t>
        </is>
      </c>
      <c r="B1" s="1" t="inlineStr">
        <is>
          <t>核对项</t>
        </is>
      </c>
      <c r="C1" s="1" t="inlineStr">
        <is>
          <t>判定</t>
        </is>
      </c>
      <c r="D1" s="1" t="inlineStr">
        <is>
          <t>证据/问题</t>
        </is>
      </c>
      <c r="E1" s="1" t="inlineStr">
        <is>
          <t>建议修改</t>
        </is>
      </c>
    </row>
    <row r="2">
      <c r="A2" s="2" t="inlineStr">
        <is>
          <t>安全口径</t>
        </is>
      </c>
      <c r="B2" s="2" t="inlineStr">
        <is>
          <t>300 mm净空等价于1250 mm同参考点间距</t>
        </is>
      </c>
      <c r="C2" s="4" t="inlineStr">
        <is>
          <t>正确</t>
        </is>
      </c>
      <c r="D2" s="2" t="inlineStr">
        <is>
          <t>题目、计划与代码常量一致</t>
        </is>
      </c>
      <c r="E2" s="2" t="inlineStr">
        <is>
          <t>保留</t>
        </is>
      </c>
    </row>
    <row r="3">
      <c r="A3" s="5" t="inlineStr">
        <is>
          <t>连续安全</t>
        </is>
      </c>
      <c r="B3" s="5" t="inlineStr">
        <is>
          <t>跨Link并检查0.2 s步内极值</t>
        </is>
      </c>
      <c r="C3" s="4" t="inlineStr">
        <is>
          <t>正确</t>
        </is>
      </c>
      <c r="D3" s="5" t="inlineStr">
        <is>
          <t>已按实际常加速度/匀速/最大制动/静止分段逐段求极值</t>
        </is>
      </c>
      <c r="E3" s="5" t="inlineStr">
        <is>
          <t>保留分段回归测试</t>
        </is>
      </c>
    </row>
    <row r="4">
      <c r="A4" s="2" t="inlineStr">
        <is>
          <t>运动学</t>
        </is>
      </c>
      <c r="B4" s="2" t="inlineStr">
        <is>
          <t>速度、加减速与停车距离</t>
        </is>
      </c>
      <c r="C4" s="4" t="inlineStr">
        <is>
          <t>正确</t>
        </is>
      </c>
      <c r="D4" s="2" t="inlineStr">
        <is>
          <t>Q2原3个停车违规已清零，三问独立停车距离违规均为0</t>
        </is>
      </c>
      <c r="E4" s="2" t="inlineStr">
        <is>
          <t>保留v²/(2DEC)独立硬门</t>
        </is>
      </c>
    </row>
    <row r="5">
      <c r="A5" s="5" t="inlineStr">
        <is>
          <t>P17</t>
        </is>
      </c>
      <c r="B5" s="5" t="inlineStr">
        <is>
          <t>Node70、Link507、距起点303 mm</t>
        </is>
      </c>
      <c r="C5" s="4" t="inlineStr">
        <is>
          <t>正确</t>
        </is>
      </c>
      <c r="D5" s="5" t="inlineStr">
        <is>
          <t>附件2/3与代码断言一致</t>
        </is>
      </c>
      <c r="E5" s="5" t="inlineStr">
        <is>
          <t>保留并清理旧网页缓存</t>
        </is>
      </c>
    </row>
    <row r="6">
      <c r="A6" s="2" t="inlineStr">
        <is>
          <t>在线性</t>
        </is>
      </c>
      <c r="B6" s="2" t="inlineStr">
        <is>
          <t>Q2/Q3不得读取未来任务</t>
        </is>
      </c>
      <c r="C6" s="4" t="inlineStr">
        <is>
          <t>正确</t>
        </is>
      </c>
      <c r="D6" s="2" t="inlineStr">
        <is>
          <t>6组未来字段扰动哈希一致</t>
        </is>
      </c>
      <c r="E6" s="2" t="inlineStr">
        <is>
          <t>保留反事实测试</t>
        </is>
      </c>
    </row>
    <row r="7">
      <c r="A7" s="5" t="inlineStr">
        <is>
          <t>主目标</t>
        </is>
      </c>
      <c r="B7" s="5" t="inlineStr">
        <is>
          <t>可行候选中AvgTransferTime最小</t>
        </is>
      </c>
      <c r="C7" s="4" t="inlineStr">
        <is>
          <t>正确</t>
        </is>
      </c>
      <c r="D7" s="5" t="inlineStr">
        <is>
          <t>Q1/Q2/Q3分别选择ALNS、balanced、microbatch</t>
        </is>
      </c>
      <c r="E7" s="5" t="inlineStr">
        <is>
          <t>保留</t>
        </is>
      </c>
    </row>
    <row r="8">
      <c r="A8" s="2" t="inlineStr">
        <is>
          <t>Q3模型</t>
        </is>
      </c>
      <c r="B8" s="2" t="inlineStr">
        <is>
          <t>压力+时隙+防死锁作为正式主模型</t>
        </is>
      </c>
      <c r="C8" s="7" t="inlineStr">
        <is>
          <t>需修订</t>
        </is>
      </c>
      <c r="D8" s="2" t="inlineStr">
        <is>
          <t>正式轨迹为microbatch，时隙/预约/恢复事件均为0</t>
        </is>
      </c>
      <c r="E8" s="2" t="inlineStr">
        <is>
          <t>调整模型定位或优化完整模型</t>
        </is>
      </c>
    </row>
    <row r="9">
      <c r="A9" s="5" t="inlineStr">
        <is>
          <t>附件9行数</t>
        </is>
      </c>
      <c r="B9" s="5" t="inlineStr">
        <is>
          <t>三问任务数据总行数</t>
        </is>
      </c>
      <c r="C9" s="7" t="inlineStr">
        <is>
          <t>需修订</t>
        </is>
      </c>
      <c r="D9" s="5" t="inlineStr">
        <is>
          <t>32+190+600=822；823只能表示含表头</t>
        </is>
      </c>
      <c r="E9" s="5" t="inlineStr">
        <is>
          <t>统一措辞</t>
        </is>
      </c>
    </row>
    <row r="10">
      <c r="A10" s="2" t="inlineStr">
        <is>
          <t>版本管理</t>
        </is>
      </c>
      <c r="B10" s="2" t="inlineStr">
        <is>
          <t>README/报告/CSV/XLSX同版本</t>
        </is>
      </c>
      <c r="C10" s="4" t="inlineStr">
        <is>
          <t>正确</t>
        </is>
      </c>
      <c r="D10" s="2" t="inlineStr">
        <is>
          <t>正式输出已同步回三个答案目录</t>
        </is>
      </c>
      <c r="E10" s="2" t="inlineStr">
        <is>
          <t>提交前继续执行哈希复核</t>
        </is>
      </c>
    </row>
  </sheetData>
  <autoFilter ref="A1:E10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18" customWidth="1" min="5" max="5"/>
    <col width="22" customWidth="1" min="6" max="6"/>
    <col width="14" customWidth="1" min="7" max="7"/>
    <col width="14" customWidth="1" min="8" max="8"/>
    <col width="16" customWidth="1" min="9" max="9"/>
  </cols>
  <sheetData>
    <row r="1" ht="30" customHeight="1">
      <c r="A1" s="1" t="inlineStr">
        <is>
          <t>问题</t>
        </is>
      </c>
      <c r="B1" s="1" t="inlineStr">
        <is>
          <t>修复前Step</t>
        </is>
      </c>
      <c r="C1" s="1" t="inlineStr">
        <is>
          <t>车辆</t>
        </is>
      </c>
      <c r="D1" s="1" t="inlineStr">
        <is>
          <t>修复前初速度/mm·s⁻¹</t>
        </is>
      </c>
      <c r="E1" s="1" t="inlineStr">
        <is>
          <t>修复前实际位移/mm</t>
        </is>
      </c>
      <c r="F1" s="1" t="inlineStr">
        <is>
          <t>最短停车距离/mm</t>
        </is>
      </c>
      <c r="G1" s="1" t="inlineStr">
        <is>
          <t>修复前缺口/mm</t>
        </is>
      </c>
      <c r="H1" s="1" t="inlineStr">
        <is>
          <t>修复后判定</t>
        </is>
      </c>
      <c r="I1" s="1" t="inlineStr">
        <is>
          <t>说明</t>
        </is>
      </c>
    </row>
    <row r="2">
      <c r="A2" s="2" t="n">
        <v>2</v>
      </c>
      <c r="B2" s="3" t="n">
        <v>7264</v>
      </c>
      <c r="C2" s="2" t="inlineStr">
        <is>
          <t>OHT08</t>
        </is>
      </c>
      <c r="D2" s="3" t="n">
        <v>597.329</v>
      </c>
      <c r="E2" s="3" t="n">
        <v>51.385</v>
      </c>
      <c r="F2" s="3">
        <f>D2^2/(2*3000)</f>
        <v/>
      </c>
      <c r="G2" s="3">
        <f>F2-E2</f>
        <v/>
      </c>
      <c r="H2" s="4" t="inlineStr">
        <is>
          <t>通过</t>
        </is>
      </c>
      <c r="I2" s="2" t="inlineStr">
        <is>
          <t>修复后正式轨迹未出现停车距离不足</t>
        </is>
      </c>
    </row>
    <row r="3">
      <c r="A3" s="5" t="n">
        <v>2</v>
      </c>
      <c r="B3" s="6" t="n">
        <v>10506</v>
      </c>
      <c r="C3" s="5" t="inlineStr">
        <is>
          <t>OHT09</t>
        </is>
      </c>
      <c r="D3" s="6" t="n">
        <v>366.333</v>
      </c>
      <c r="E3" s="6" t="n">
        <v>14.285</v>
      </c>
      <c r="F3" s="6">
        <f>D3^2/(2*3000)</f>
        <v/>
      </c>
      <c r="G3" s="6">
        <f>F3-E3</f>
        <v/>
      </c>
      <c r="H3" s="4" t="inlineStr">
        <is>
          <t>通过</t>
        </is>
      </c>
      <c r="I3" s="5" t="inlineStr">
        <is>
          <t>修复后正式轨迹未出现停车距离不足</t>
        </is>
      </c>
    </row>
    <row r="4">
      <c r="A4" s="2" t="n">
        <v>2</v>
      </c>
      <c r="B4" s="3" t="n">
        <v>16891</v>
      </c>
      <c r="C4" s="2" t="inlineStr">
        <is>
          <t>OHT02</t>
        </is>
      </c>
      <c r="D4" s="3" t="n">
        <v>110</v>
      </c>
      <c r="E4" s="3" t="n">
        <v>0.668</v>
      </c>
      <c r="F4" s="3">
        <f>D4^2/(2*3000)</f>
        <v/>
      </c>
      <c r="G4" s="3">
        <f>F4-E4</f>
        <v/>
      </c>
      <c r="H4" s="4" t="inlineStr">
        <is>
          <t>通过</t>
        </is>
      </c>
      <c r="I4" s="2" t="inlineStr">
        <is>
          <t>增加高速空闲车到近距离Source的制动接纳检查</t>
        </is>
      </c>
    </row>
  </sheetData>
  <autoFilter ref="A1:I4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1" ht="30" customHeight="1">
      <c r="A1" s="1" t="inlineStr">
        <is>
          <t>问题</t>
        </is>
      </c>
      <c r="B1" s="1" t="inlineStr">
        <is>
          <t>答案目录AvgTransferTime/s</t>
        </is>
      </c>
      <c r="C1" s="1" t="inlineStr">
        <is>
          <t>outputs正式AvgTransferTime/s</t>
        </is>
      </c>
      <c r="D1" s="1" t="inlineStr">
        <is>
          <t>差值/s</t>
        </is>
      </c>
      <c r="E1" s="1" t="inlineStr">
        <is>
          <t>答案目录状态</t>
        </is>
      </c>
      <c r="F1" s="1" t="inlineStr">
        <is>
          <t>应采用来源</t>
        </is>
      </c>
      <c r="G1" s="1" t="inlineStr">
        <is>
          <t>处置</t>
        </is>
      </c>
    </row>
    <row r="2">
      <c r="A2" s="2" t="n">
        <v>1</v>
      </c>
      <c r="B2" s="3" t="n">
        <v>171.5</v>
      </c>
      <c r="C2" s="3" t="n">
        <v>171.5</v>
      </c>
      <c r="D2" s="2">
        <f>C2-B2</f>
        <v/>
      </c>
      <c r="E2" s="8" t="inlineStr">
        <is>
          <t>已同步</t>
        </is>
      </c>
      <c r="F2" s="2" t="inlineStr">
        <is>
          <t>outputs/q1</t>
        </is>
      </c>
      <c r="G2" s="2" t="inlineStr">
        <is>
          <t>一致</t>
        </is>
      </c>
    </row>
    <row r="3">
      <c r="A3" s="5" t="n">
        <v>2</v>
      </c>
      <c r="B3" s="6" t="n">
        <v>142.939989</v>
      </c>
      <c r="C3" s="6" t="n">
        <v>142.939989</v>
      </c>
      <c r="D3" s="5">
        <f>C3-B3</f>
        <v/>
      </c>
      <c r="E3" s="8" t="inlineStr">
        <is>
          <t>已同步</t>
        </is>
      </c>
      <c r="F3" s="5" t="inlineStr">
        <is>
          <t>outputs/q2</t>
        </is>
      </c>
      <c r="G3" s="5" t="inlineStr">
        <is>
          <t>一致</t>
        </is>
      </c>
    </row>
    <row r="4">
      <c r="A4" s="2" t="n">
        <v>3</v>
      </c>
      <c r="B4" s="3" t="n">
        <v>830.458087</v>
      </c>
      <c r="C4" s="3" t="n">
        <v>830.458087</v>
      </c>
      <c r="D4" s="2">
        <f>C4-B4</f>
        <v/>
      </c>
      <c r="E4" s="8" t="inlineStr">
        <is>
          <t>已同步</t>
        </is>
      </c>
      <c r="F4" s="2" t="inlineStr">
        <is>
          <t>outputs/q3</t>
        </is>
      </c>
      <c r="G4" s="2" t="inlineStr">
        <is>
          <t>一致</t>
        </is>
      </c>
    </row>
  </sheetData>
  <autoFilter ref="A1:G4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2026-08-16T07:09:09Z</dcterms:created>
  <dcterms:modified xsi:type="dcterms:W3CDTF">2026-08-16T07:09:09Z</dcterms:modified>
</cp:coreProperties>
</file>